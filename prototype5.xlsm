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kthom02\fegs-dashboard\"/>
    </mc:Choice>
  </mc:AlternateContent>
  <bookViews>
    <workbookView xWindow="0" yWindow="0" windowWidth="19200" windowHeight="11595" activeTab="1"/>
  </bookViews>
  <sheets>
    <sheet name="dash" sheetId="2" r:id="rId1"/>
    <sheet name="beneficiaries" sheetId="1" r:id="rId2"/>
    <sheet name="attributes" sheetId="3" r:id="rId3"/>
  </sheets>
  <definedNames>
    <definedName name="Agricultural_Processor">OFFSET(beneficiaries!$C$2,0,0,COUNTA(beneficiaries!$C$2:$C$38)-COUNTBLANK(beneficiaries!$C$2:$C$38),1)</definedName>
    <definedName name="attributes">OFFSET(attributes!$A$2,0,0,COUNTA(beneficiaries!$D:$D-1),1)</definedName>
    <definedName name="beneficiaries">OFFSET(beneficiaries!$A$2,0,0,COUNTA(beneficiaries!$A:$A)-1,1)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1" l="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2" i="1"/>
  <c r="C2" i="1" s="1"/>
  <c r="C3" i="1" l="1" a="1"/>
  <c r="C3" i="1" s="1"/>
  <c r="C24" i="1" a="1"/>
  <c r="C24" i="1" s="1"/>
  <c r="C32" i="1" a="1"/>
  <c r="C32" i="1" s="1"/>
  <c r="C28" i="1" a="1"/>
  <c r="C28" i="1" s="1"/>
  <c r="C23" i="1" a="1"/>
  <c r="C23" i="1" s="1"/>
  <c r="C19" i="1" a="1"/>
  <c r="C19" i="1" s="1"/>
  <c r="C17" i="1" a="1"/>
  <c r="C17" i="1" s="1"/>
  <c r="C16" i="1" a="1"/>
  <c r="C16" i="1" s="1"/>
  <c r="C15" i="1" a="1"/>
  <c r="C15" i="1" s="1"/>
  <c r="C33" i="1" a="1"/>
  <c r="C33" i="1" s="1"/>
  <c r="C13" i="1" a="1"/>
  <c r="C13" i="1" s="1"/>
  <c r="C31" i="1" a="1"/>
  <c r="C31" i="1" s="1"/>
  <c r="C9" i="1" a="1"/>
  <c r="C9" i="1" s="1"/>
  <c r="C8" i="1" a="1"/>
  <c r="C8" i="1" s="1"/>
  <c r="C29" i="1" a="1"/>
  <c r="C29" i="1" s="1"/>
  <c r="C7" i="1" a="1"/>
  <c r="C7" i="1" s="1"/>
  <c r="C30" i="1" a="1"/>
  <c r="C30" i="1" s="1"/>
  <c r="C26" i="1" a="1"/>
  <c r="C26" i="1" s="1"/>
  <c r="C21" i="1" a="1"/>
  <c r="C21" i="1" s="1"/>
  <c r="C37" i="1" a="1"/>
  <c r="C37" i="1" s="1"/>
  <c r="C27" i="1" a="1"/>
  <c r="C27" i="1" s="1"/>
  <c r="C22" i="1" a="1"/>
  <c r="C22" i="1" s="1"/>
  <c r="C20" i="1" a="1"/>
  <c r="C20" i="1" s="1"/>
  <c r="C14" i="1" a="1"/>
  <c r="C14" i="1" s="1"/>
  <c r="C12" i="1" a="1"/>
  <c r="C12" i="1" s="1"/>
  <c r="C10" i="1" a="1"/>
  <c r="C10" i="1" s="1"/>
  <c r="C5" i="1" a="1"/>
  <c r="C5" i="1" s="1"/>
  <c r="C38" i="1" a="1"/>
  <c r="C38" i="1" s="1"/>
  <c r="C4" i="1" a="1"/>
  <c r="C4" i="1" s="1"/>
  <c r="C25" i="1" a="1"/>
  <c r="C25" i="1" s="1"/>
  <c r="C18" i="1" a="1"/>
  <c r="C18" i="1" s="1"/>
  <c r="C11" i="1" a="1"/>
  <c r="C11" i="1" s="1"/>
  <c r="C6" i="1" a="1"/>
  <c r="C6" i="1" s="1"/>
  <c r="C36" i="1" a="1"/>
  <c r="C36" i="1" s="1"/>
  <c r="C35" i="1" a="1"/>
  <c r="C35" i="1" s="1"/>
  <c r="C34" i="1" a="1"/>
  <c r="C34" i="1" s="1"/>
</calcChain>
</file>

<file path=xl/comments1.xml><?xml version="1.0" encoding="utf-8"?>
<comments xmlns="http://schemas.openxmlformats.org/spreadsheetml/2006/main">
  <authors>
    <author>Paul Ringold</author>
    <author>A.M. Nahlik</author>
  </authors>
  <commentList>
    <comment ref="A4" authorId="0" shapeId="0">
      <text>
        <r>
          <rPr>
            <b/>
            <sz val="12"/>
            <color indexed="81"/>
            <rFont val="Arial"/>
            <family val="2"/>
          </rPr>
          <t>A general term that includes both stream state and tidal bores etc. that reflects risk.</t>
        </r>
      </text>
    </comment>
    <comment ref="A8" authorId="1" shapeId="0">
      <text>
        <r>
          <rPr>
            <b/>
            <sz val="12"/>
            <color indexed="81"/>
            <rFont val="Arial"/>
            <family val="2"/>
          </rPr>
          <t>Habitat Mosaic refers to the occurrence of habitat types within an ecosystem (e.g., open water:emergent vegetation).</t>
        </r>
      </text>
    </comment>
    <comment ref="A10" authorId="1" shapeId="0">
      <text>
        <r>
          <rPr>
            <b/>
            <sz val="12"/>
            <color indexed="81"/>
            <rFont val="Arial"/>
            <family val="2"/>
          </rPr>
          <t>Total suspended solids, color, turbidity, etc. may be metrics for clarity.  Clarity refers specifically to water quality and does not refer to aesthetics.</t>
        </r>
      </text>
    </comment>
    <comment ref="A13" authorId="1" shapeId="0">
      <text>
        <r>
          <rPr>
            <b/>
            <sz val="12"/>
            <color indexed="81"/>
            <rFont val="Arial"/>
            <family val="2"/>
          </rPr>
          <t>Chemicals include nutrients, pesticides, and toxins.</t>
        </r>
      </text>
    </comment>
    <comment ref="A15" authorId="1" shapeId="0">
      <text>
        <r>
          <rPr>
            <b/>
            <sz val="12"/>
            <color indexed="81"/>
            <rFont val="Arial"/>
            <family val="2"/>
          </rPr>
          <t>Includes insects, shellfish, etc.</t>
        </r>
      </text>
    </comment>
    <comment ref="A17" authorId="1" shapeId="0">
      <text>
        <r>
          <rPr>
            <b/>
            <sz val="12"/>
            <color indexed="81"/>
            <rFont val="Arial"/>
            <family val="2"/>
          </rPr>
          <t>Includes reptiles, amphibians, birds, and mammals (excludes fish, shellfish).</t>
        </r>
      </text>
    </comment>
  </commentList>
</comments>
</file>

<file path=xl/sharedStrings.xml><?xml version="1.0" encoding="utf-8"?>
<sst xmlns="http://schemas.openxmlformats.org/spreadsheetml/2006/main" count="66" uniqueCount="64">
  <si>
    <t>Beneficiaries</t>
  </si>
  <si>
    <t>Agricultural Processor</t>
  </si>
  <si>
    <t>Aquaculturists</t>
  </si>
  <si>
    <t>Cafo Operator</t>
  </si>
  <si>
    <t>Farmers</t>
  </si>
  <si>
    <t>Foresters</t>
  </si>
  <si>
    <t>Irrigators</t>
  </si>
  <si>
    <t>Livestock Grazer</t>
  </si>
  <si>
    <t xml:space="preserve">Electric And Other Energy </t>
  </si>
  <si>
    <t>Food Extractor</t>
  </si>
  <si>
    <t>Fur Hide Trappers &amp; Hunters</t>
  </si>
  <si>
    <t>Industrial Dis</t>
  </si>
  <si>
    <t>Industrial Proc</t>
  </si>
  <si>
    <t>Pharmaceutical Food Supplement Suppliers</t>
  </si>
  <si>
    <t>Resource Dep Businesses</t>
  </si>
  <si>
    <t>Timber Fiber And Ornamental</t>
  </si>
  <si>
    <t>Artists</t>
  </si>
  <si>
    <t>Educators And Students</t>
  </si>
  <si>
    <t>Researchers</t>
  </si>
  <si>
    <t>Spiritual And Ceremonial Participants And Participants Of Celebration</t>
  </si>
  <si>
    <t>Military Coast Guard</t>
  </si>
  <si>
    <t>Municipal Drinking Water Plant Operators</t>
  </si>
  <si>
    <t>Residential Property Owners</t>
  </si>
  <si>
    <t>Waste Water Treatment Plant Operators</t>
  </si>
  <si>
    <t>Existence</t>
  </si>
  <si>
    <t>Options Bequest</t>
  </si>
  <si>
    <t>Anglers</t>
  </si>
  <si>
    <t>Boaters</t>
  </si>
  <si>
    <t>Experiencers And Viewers</t>
  </si>
  <si>
    <t>Food Pickers And Gatherers</t>
  </si>
  <si>
    <t>Hunters</t>
  </si>
  <si>
    <t>Waders Swimmers And Divers</t>
  </si>
  <si>
    <t>Building Material Subsisters</t>
  </si>
  <si>
    <t>Food Subsisters</t>
  </si>
  <si>
    <t>Timber Fiber And Fur  Hide Subsisters</t>
  </si>
  <si>
    <t>Water Subsisters</t>
  </si>
  <si>
    <t>Transporters Of Goods</t>
  </si>
  <si>
    <t>Transporters Of People</t>
  </si>
  <si>
    <t>Attributes</t>
  </si>
  <si>
    <t>Amount of Water</t>
  </si>
  <si>
    <t>Substrate</t>
  </si>
  <si>
    <t>Water Surface State</t>
  </si>
  <si>
    <t>Seed Dispersal(?)</t>
  </si>
  <si>
    <t>Soil Formation and Nutrients</t>
  </si>
  <si>
    <t>Water Retention (erosion control?)</t>
  </si>
  <si>
    <t>Habitat Mosaic</t>
  </si>
  <si>
    <t>Water Temperature</t>
  </si>
  <si>
    <t>Clarity</t>
  </si>
  <si>
    <t>Oxygen Level</t>
  </si>
  <si>
    <t>Conductivity / Salinity</t>
  </si>
  <si>
    <t>Chemicals</t>
  </si>
  <si>
    <t>Pathogens &amp; Parasites</t>
  </si>
  <si>
    <t>Invertebrates (aquatic and terrestrial systems?)</t>
  </si>
  <si>
    <t>Fish</t>
  </si>
  <si>
    <t xml:space="preserve">Wildlife </t>
  </si>
  <si>
    <t>Vegetation</t>
  </si>
  <si>
    <t>Genetic Diversity</t>
  </si>
  <si>
    <t>Visual Appearance</t>
  </si>
  <si>
    <t>Odor</t>
  </si>
  <si>
    <t>Sound</t>
  </si>
  <si>
    <t>Tactile</t>
  </si>
  <si>
    <t>Taste</t>
  </si>
  <si>
    <t>Use the dropdown list in each cell below to enter all beneficiaries at your site. If your desired beneficiary is not listed, you may type it in and it will be added to the list of beneficiaries for quality improvement.</t>
  </si>
  <si>
    <t>data!A&lt;n&gt;'s value present on dash =&gt; blank</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</si>
</sst>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2"/>
      <color theme="0" tint="-0.14999847407452621"/>
      <name val="Calibri"/>
      <family val="2"/>
      <scheme val="minor"/>
    </font>
    <font>
      <b/>
      <sz val="8"/>
      <name val="Calibri Light"/>
      <family val="2"/>
      <scheme val="major"/>
    </font>
    <font>
      <b/>
      <sz val="12"/>
      <color indexed="81"/>
      <name val="Arial"/>
      <family val="2"/>
    </font>
    <font>
      <b/>
      <sz val="12"/>
      <color rgb="FF333333"/>
      <name val="Arial"/>
      <family val="2"/>
    </font>
  </fonts>
  <fills count="3">
    <fill>
      <patternFill patternType="none"/>
    </fill>
    <fill>
      <patternFill patternType="gray125"/>
    </fill>
    <fill>
      <patternFill patternType="solid">
        <fgColor theme="1" tint="0.14999847407452621"/>
        <bgColor indexed="64"/>
      </patternFill>
    </fill>
  </fills>
  <borders count="2">
    <border>
      <left/>
      <right/>
      <top/>
      <bottom/>
      <diagonal/>
    </border>
    <border>
      <left/>
      <right/>
      <top style="medium">
        <color theme="1"/>
      </top>
      <bottom/>
      <diagonal/>
    </border>
  </borders>
  <cellStyleXfs count="1">
    <xf numFmtId="0" fontId="0" fillId="0" borderId="0"/>
  </cellStyleXfs>
  <cellXfs count="8">
    <xf numFmtId="0" fontId="0" fillId="0" borderId="0" xfId="0"/>
    <xf numFmtId="0" fontId="0" fillId="0" borderId="0" xfId="0" applyBorder="1"/>
    <xf numFmtId="0" fontId="0" fillId="0" borderId="0" xfId="0" applyAlignment="1">
      <alignment wrapText="1"/>
    </xf>
    <xf numFmtId="0" fontId="1" fillId="2" borderId="1" xfId="0" applyFont="1" applyFill="1" applyBorder="1" applyAlignment="1">
      <alignment horizontal="center" vertical="center" wrapText="1"/>
    </xf>
    <xf numFmtId="0" fontId="0" fillId="0" borderId="0" xfId="0" applyFont="1" applyFill="1" applyBorder="1" applyAlignment="1">
      <alignment horizontal="right" wrapText="1"/>
    </xf>
    <xf numFmtId="0" fontId="4" fillId="0" borderId="0" xfId="0" applyFont="1" applyFill="1" applyBorder="1"/>
    <xf numFmtId="0" fontId="2" fillId="0" borderId="0" xfId="0" applyFont="1" applyFill="1" applyBorder="1" applyAlignment="1">
      <alignment horizontal="left" vertical="top" wrapText="1"/>
    </xf>
    <xf numFmtId="0" fontId="0" fillId="0" borderId="0" xfId="0" applyFill="1" applyBorder="1"/>
  </cellXfs>
  <cellStyles count="1">
    <cellStyle name="Normal" xfId="0" builtinId="0"/>
  </cellStyles>
  <dxfs count="4">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oneCellAnchor>
    <xdr:from>
      <xdr:col>0</xdr:col>
      <xdr:colOff>840441</xdr:colOff>
      <xdr:row>24</xdr:row>
      <xdr:rowOff>224118</xdr:rowOff>
    </xdr:from>
    <xdr:ext cx="184731" cy="264560"/>
    <xdr:sp macro="" textlink="">
      <xdr:nvSpPr>
        <xdr:cNvPr id="2" name="TextBox 1"/>
        <xdr:cNvSpPr txBox="1"/>
      </xdr:nvSpPr>
      <xdr:spPr>
        <a:xfrm>
          <a:off x="840441" y="1955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840441</xdr:colOff>
      <xdr:row>35</xdr:row>
      <xdr:rowOff>224118</xdr:rowOff>
    </xdr:from>
    <xdr:ext cx="184731" cy="264560"/>
    <xdr:sp macro="" textlink="">
      <xdr:nvSpPr>
        <xdr:cNvPr id="3" name="TextBox 2"/>
        <xdr:cNvSpPr txBox="1"/>
      </xdr:nvSpPr>
      <xdr:spPr>
        <a:xfrm>
          <a:off x="840441" y="1703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840441</xdr:colOff>
      <xdr:row>13</xdr:row>
      <xdr:rowOff>224118</xdr:rowOff>
    </xdr:from>
    <xdr:ext cx="184731" cy="264560"/>
    <xdr:sp macro="" textlink="">
      <xdr:nvSpPr>
        <xdr:cNvPr id="4" name="TextBox 3"/>
        <xdr:cNvSpPr txBox="1"/>
      </xdr:nvSpPr>
      <xdr:spPr>
        <a:xfrm>
          <a:off x="840441" y="1955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840441</xdr:colOff>
      <xdr:row>35</xdr:row>
      <xdr:rowOff>224118</xdr:rowOff>
    </xdr:from>
    <xdr:ext cx="184731" cy="264560"/>
    <xdr:sp macro="" textlink="">
      <xdr:nvSpPr>
        <xdr:cNvPr id="5" name="TextBox 4"/>
        <xdr:cNvSpPr txBox="1"/>
      </xdr:nvSpPr>
      <xdr:spPr>
        <a:xfrm>
          <a:off x="840441" y="1703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tint="0.79998168889431442"/>
  </sheetPr>
  <dimension ref="A1:A3"/>
  <sheetViews>
    <sheetView workbookViewId="0">
      <selection activeCell="A3" sqref="A3"/>
    </sheetView>
  </sheetViews>
  <sheetFormatPr defaultRowHeight="15" x14ac:dyDescent="0.25"/>
  <cols>
    <col min="1" max="1" width="44.42578125" customWidth="1"/>
    <col min="2" max="2" width="18.5703125" customWidth="1"/>
  </cols>
  <sheetData>
    <row r="1" spans="1:1" s="2" customFormat="1" ht="75" x14ac:dyDescent="0.25">
      <c r="A1" s="2" t="s">
        <v>62</v>
      </c>
    </row>
    <row r="2" spans="1:1" x14ac:dyDescent="0.25">
      <c r="A2" t="s">
        <v>2</v>
      </c>
    </row>
    <row r="3" spans="1:1" x14ac:dyDescent="0.25">
      <c r="A3" t="s">
        <v>27</v>
      </c>
    </row>
  </sheetData>
  <dataValidations count="1">
    <dataValidation type="list" allowBlank="1" sqref="A2:A1048576">
      <formula1>beneficiaries</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tint="0.79998168889431442"/>
  </sheetPr>
  <dimension ref="A1:C39"/>
  <sheetViews>
    <sheetView tabSelected="1" zoomScale="115" zoomScaleNormal="115" workbookViewId="0">
      <selection activeCell="B3" sqref="B3"/>
    </sheetView>
  </sheetViews>
  <sheetFormatPr defaultColWidth="128.140625" defaultRowHeight="15" x14ac:dyDescent="0.25"/>
  <cols>
    <col min="1" max="1" width="64.140625" bestFit="1" customWidth="1"/>
    <col min="2" max="2" width="44.7109375" bestFit="1" customWidth="1"/>
    <col min="3" max="3" width="78.85546875" bestFit="1" customWidth="1"/>
  </cols>
  <sheetData>
    <row r="1" spans="1:3" s="3" customFormat="1" ht="15.75" x14ac:dyDescent="0.25">
      <c r="A1" s="3" t="s">
        <v>0</v>
      </c>
      <c r="B1" s="3" t="s">
        <v>63</v>
      </c>
    </row>
    <row r="2" spans="1:3" s="7" customFormat="1" ht="15.75" x14ac:dyDescent="0.25">
      <c r="A2" s="4" t="s">
        <v>1</v>
      </c>
      <c r="B2" s="4">
        <f>IF(COUNTIF(dash!$A2:$A$100,$A2)&gt;=1,"",ROW())</f>
        <v>2</v>
      </c>
      <c r="C2" s="5" t="str">
        <f>IF(ROW(A2)-ROW(A$2)+1&gt;COUNT(B$2:B$100),"",INDEX(A:A,SMALL(B$2:B$100,1+ROW(A2)-ROW(A$2))))</f>
        <v>Agricultural Processor</v>
      </c>
    </row>
    <row r="3" spans="1:3" s="7" customFormat="1" ht="15.75" x14ac:dyDescent="0.25">
      <c r="A3" s="4" t="s">
        <v>26</v>
      </c>
      <c r="B3" s="4">
        <f>IF(COUNTIF(dash!$A3:$A$100,$A3)&gt;=1,"",ROW())</f>
        <v>3</v>
      </c>
      <c r="C3" s="5" t="str">
        <f t="array" ref="C3">IF(ROW(A3)-ROW(A$2)+1&gt;COUNT(B$2:B$100),"",INDEX(A:A,SMALL(B$2:B$100,1+ROW(A3)-ROW(A$2))))</f>
        <v>Anglers</v>
      </c>
    </row>
    <row r="4" spans="1:3" s="7" customFormat="1" ht="15.75" x14ac:dyDescent="0.25">
      <c r="A4" s="4" t="s">
        <v>2</v>
      </c>
      <c r="B4" s="4">
        <f>IF(COUNTIF(dash!$A4:$A$100,$A4)&gt;=1,"",ROW())</f>
        <v>4</v>
      </c>
      <c r="C4" s="5" t="str">
        <f t="array" ref="C4">IF(ROW(A4)-ROW(A$2)+1&gt;COUNT(B$2:B$100),"",INDEX(A:A,SMALL(B$2:B$100,1+ROW(A4)-ROW(A$2))))</f>
        <v>Aquaculturists</v>
      </c>
    </row>
    <row r="5" spans="1:3" s="7" customFormat="1" ht="15.75" x14ac:dyDescent="0.25">
      <c r="A5" s="4" t="s">
        <v>16</v>
      </c>
      <c r="B5" s="4">
        <f>IF(COUNTIF(dash!$A5:$A$100,$A5)&gt;=1,"",ROW())</f>
        <v>5</v>
      </c>
      <c r="C5" s="5" t="str">
        <f t="array" ref="C5">IF(ROW(A5)-ROW(A$2)+1&gt;COUNT(B$2:B$100),"",INDEX(A:A,SMALL(B$2:B$100,1+ROW(A5)-ROW(A$2))))</f>
        <v>Artists</v>
      </c>
    </row>
    <row r="6" spans="1:3" s="7" customFormat="1" ht="15.75" x14ac:dyDescent="0.25">
      <c r="A6" s="4" t="s">
        <v>27</v>
      </c>
      <c r="B6" s="4">
        <f>IF(COUNTIF(dash!$A6:$A$100,$A6)&gt;=1,"",ROW())</f>
        <v>6</v>
      </c>
      <c r="C6" s="5" t="str">
        <f t="array" ref="C6">IF(ROW(A6)-ROW(A$2)+1&gt;COUNT(B$2:B$100),"",INDEX(A:A,SMALL(B$2:B$100,1+ROW(A6)-ROW(A$2))))</f>
        <v>Boaters</v>
      </c>
    </row>
    <row r="7" spans="1:3" s="7" customFormat="1" ht="15.75" x14ac:dyDescent="0.25">
      <c r="A7" s="4" t="s">
        <v>32</v>
      </c>
      <c r="B7" s="4">
        <f>IF(COUNTIF(dash!$A7:$A$100,$A7)&gt;=1,"",ROW())</f>
        <v>7</v>
      </c>
      <c r="C7" s="5" t="str">
        <f t="array" ref="C7">IF(ROW(A7)-ROW(A$2)+1&gt;COUNT(B$2:B$100),"",INDEX(A:A,SMALL(B$2:B$100,1+ROW(A7)-ROW(A$2))))</f>
        <v>Building Material Subsisters</v>
      </c>
    </row>
    <row r="8" spans="1:3" s="7" customFormat="1" ht="15.75" x14ac:dyDescent="0.25">
      <c r="A8" s="4" t="s">
        <v>3</v>
      </c>
      <c r="B8" s="4">
        <f>IF(COUNTIF(dash!$A8:$A$100,$A8)&gt;=1,"",ROW())</f>
        <v>8</v>
      </c>
      <c r="C8" s="5" t="str">
        <f t="array" ref="C8">IF(ROW(A8)-ROW(A$2)+1&gt;COUNT(B$2:B$100),"",INDEX(A:A,SMALL(B$2:B$100,1+ROW(A8)-ROW(A$2))))</f>
        <v>Cafo Operator</v>
      </c>
    </row>
    <row r="9" spans="1:3" s="7" customFormat="1" ht="15.75" x14ac:dyDescent="0.25">
      <c r="A9" s="4" t="s">
        <v>17</v>
      </c>
      <c r="B9" s="4">
        <f>IF(COUNTIF(dash!$A9:$A$100,$A9)&gt;=1,"",ROW())</f>
        <v>9</v>
      </c>
      <c r="C9" s="5" t="str">
        <f t="array" ref="C9">IF(ROW(A9)-ROW(A$2)+1&gt;COUNT(B$2:B$100),"",INDEX(A:A,SMALL(B$2:B$100,1+ROW(A9)-ROW(A$2))))</f>
        <v>Educators And Students</v>
      </c>
    </row>
    <row r="10" spans="1:3" s="7" customFormat="1" ht="15.75" x14ac:dyDescent="0.25">
      <c r="A10" s="4" t="s">
        <v>8</v>
      </c>
      <c r="B10" s="4">
        <f>IF(COUNTIF(dash!$A10:$A$100,$A10)&gt;=1,"",ROW())</f>
        <v>10</v>
      </c>
      <c r="C10" s="5" t="str">
        <f t="array" ref="C10">IF(ROW(A10)-ROW(A$2)+1&gt;COUNT(B$2:B$100),"",INDEX(A:A,SMALL(B$2:B$100,1+ROW(A10)-ROW(A$2))))</f>
        <v xml:space="preserve">Electric And Other Energy </v>
      </c>
    </row>
    <row r="11" spans="1:3" s="7" customFormat="1" ht="15.75" x14ac:dyDescent="0.25">
      <c r="A11" s="4" t="s">
        <v>24</v>
      </c>
      <c r="B11" s="4">
        <f>IF(COUNTIF(dash!$A11:$A$100,$A11)&gt;=1,"",ROW())</f>
        <v>11</v>
      </c>
      <c r="C11" s="5" t="str">
        <f t="array" ref="C11">IF(ROW(A11)-ROW(A$2)+1&gt;COUNT(B$2:B$100),"",INDEX(A:A,SMALL(B$2:B$100,1+ROW(A11)-ROW(A$2))))</f>
        <v>Existence</v>
      </c>
    </row>
    <row r="12" spans="1:3" s="7" customFormat="1" ht="15.75" x14ac:dyDescent="0.25">
      <c r="A12" s="4" t="s">
        <v>28</v>
      </c>
      <c r="B12" s="4">
        <f>IF(COUNTIF(dash!$A12:$A$100,$A12)&gt;=1,"",ROW())</f>
        <v>12</v>
      </c>
      <c r="C12" s="5" t="str">
        <f t="array" ref="C12">IF(ROW(A12)-ROW(A$2)+1&gt;COUNT(B$2:B$100),"",INDEX(A:A,SMALL(B$2:B$100,1+ROW(A12)-ROW(A$2))))</f>
        <v>Experiencers And Viewers</v>
      </c>
    </row>
    <row r="13" spans="1:3" s="7" customFormat="1" ht="15.75" x14ac:dyDescent="0.25">
      <c r="A13" s="4" t="s">
        <v>4</v>
      </c>
      <c r="B13" s="4">
        <f>IF(COUNTIF(dash!$A13:$A$100,$A13)&gt;=1,"",ROW())</f>
        <v>13</v>
      </c>
      <c r="C13" s="5" t="str">
        <f t="array" ref="C13">IF(ROW(A13)-ROW(A$2)+1&gt;COUNT(B$2:B$100),"",INDEX(A:A,SMALL(B$2:B$100,1+ROW(A13)-ROW(A$2))))</f>
        <v>Farmers</v>
      </c>
    </row>
    <row r="14" spans="1:3" s="7" customFormat="1" ht="15.75" x14ac:dyDescent="0.25">
      <c r="A14" s="4" t="s">
        <v>9</v>
      </c>
      <c r="B14" s="4">
        <f>IF(COUNTIF(dash!$A14:$A$100,$A14)&gt;=1,"",ROW())</f>
        <v>14</v>
      </c>
      <c r="C14" s="5" t="str">
        <f t="array" ref="C14">IF(ROW(A14)-ROW(A$2)+1&gt;COUNT(B$2:B$100),"",INDEX(A:A,SMALL(B$2:B$100,1+ROW(A14)-ROW(A$2))))</f>
        <v>Food Extractor</v>
      </c>
    </row>
    <row r="15" spans="1:3" s="7" customFormat="1" ht="15.75" x14ac:dyDescent="0.25">
      <c r="A15" s="4" t="s">
        <v>29</v>
      </c>
      <c r="B15" s="4">
        <f>IF(COUNTIF(dash!$A15:$A$100,$A15)&gt;=1,"",ROW())</f>
        <v>15</v>
      </c>
      <c r="C15" s="5" t="str">
        <f t="array" ref="C15">IF(ROW(A15)-ROW(A$2)+1&gt;COUNT(B$2:B$100),"",INDEX(A:A,SMALL(B$2:B$100,1+ROW(A15)-ROW(A$2))))</f>
        <v>Food Pickers And Gatherers</v>
      </c>
    </row>
    <row r="16" spans="1:3" s="7" customFormat="1" ht="15.75" x14ac:dyDescent="0.25">
      <c r="A16" s="4" t="s">
        <v>33</v>
      </c>
      <c r="B16" s="4">
        <f>IF(COUNTIF(dash!$A16:$A$100,$A16)&gt;=1,"",ROW())</f>
        <v>16</v>
      </c>
      <c r="C16" s="5" t="str">
        <f t="array" ref="C16">IF(ROW(A16)-ROW(A$2)+1&gt;COUNT(B$2:B$100),"",INDEX(A:A,SMALL(B$2:B$100,1+ROW(A16)-ROW(A$2))))</f>
        <v>Food Subsisters</v>
      </c>
    </row>
    <row r="17" spans="1:3" s="7" customFormat="1" ht="15.75" x14ac:dyDescent="0.25">
      <c r="A17" s="4" t="s">
        <v>5</v>
      </c>
      <c r="B17" s="4">
        <f>IF(COUNTIF(dash!$A17:$A$100,$A17)&gt;=1,"",ROW())</f>
        <v>17</v>
      </c>
      <c r="C17" s="5" t="str">
        <f t="array" ref="C17">IF(ROW(A17)-ROW(A$2)+1&gt;COUNT(B$2:B$100),"",INDEX(A:A,SMALL(B$2:B$100,1+ROW(A17)-ROW(A$2))))</f>
        <v>Foresters</v>
      </c>
    </row>
    <row r="18" spans="1:3" s="7" customFormat="1" ht="15.75" x14ac:dyDescent="0.25">
      <c r="A18" s="4" t="s">
        <v>10</v>
      </c>
      <c r="B18" s="4">
        <f>IF(COUNTIF(dash!$A18:$A$100,$A18)&gt;=1,"",ROW())</f>
        <v>18</v>
      </c>
      <c r="C18" s="5" t="str">
        <f t="array" ref="C18">IF(ROW(A18)-ROW(A$2)+1&gt;COUNT(B$2:B$100),"",INDEX(A:A,SMALL(B$2:B$100,1+ROW(A18)-ROW(A$2))))</f>
        <v>Fur Hide Trappers &amp; Hunters</v>
      </c>
    </row>
    <row r="19" spans="1:3" s="7" customFormat="1" ht="15.75" x14ac:dyDescent="0.25">
      <c r="A19" s="4" t="s">
        <v>30</v>
      </c>
      <c r="B19" s="4">
        <f>IF(COUNTIF(dash!$A19:$A$100,$A19)&gt;=1,"",ROW())</f>
        <v>19</v>
      </c>
      <c r="C19" s="5" t="str">
        <f t="array" ref="C19">IF(ROW(A19)-ROW(A$2)+1&gt;COUNT(B$2:B$100),"",INDEX(A:A,SMALL(B$2:B$100,1+ROW(A19)-ROW(A$2))))</f>
        <v>Hunters</v>
      </c>
    </row>
    <row r="20" spans="1:3" s="7" customFormat="1" ht="15.75" x14ac:dyDescent="0.25">
      <c r="A20" s="4" t="s">
        <v>11</v>
      </c>
      <c r="B20" s="4">
        <f>IF(COUNTIF(dash!$A20:$A$100,$A20)&gt;=1,"",ROW())</f>
        <v>20</v>
      </c>
      <c r="C20" s="5" t="str">
        <f t="array" ref="C20">IF(ROW(A20)-ROW(A$2)+1&gt;COUNT(B$2:B$100),"",INDEX(A:A,SMALL(B$2:B$100,1+ROW(A20)-ROW(A$2))))</f>
        <v>Industrial Dis</v>
      </c>
    </row>
    <row r="21" spans="1:3" s="7" customFormat="1" ht="15.75" x14ac:dyDescent="0.25">
      <c r="A21" s="4" t="s">
        <v>12</v>
      </c>
      <c r="B21" s="4">
        <f>IF(COUNTIF(dash!$A21:$A$100,$A21)&gt;=1,"",ROW())</f>
        <v>21</v>
      </c>
      <c r="C21" s="5" t="str">
        <f t="array" ref="C21">IF(ROW(A21)-ROW(A$2)+1&gt;COUNT(B$2:B$100),"",INDEX(A:A,SMALL(B$2:B$100,1+ROW(A21)-ROW(A$2))))</f>
        <v>Industrial Proc</v>
      </c>
    </row>
    <row r="22" spans="1:3" s="7" customFormat="1" ht="15.75" x14ac:dyDescent="0.25">
      <c r="A22" s="4" t="s">
        <v>6</v>
      </c>
      <c r="B22" s="4">
        <f>IF(COUNTIF(dash!$A22:$A$100,$A22)&gt;=1,"",ROW())</f>
        <v>22</v>
      </c>
      <c r="C22" s="5" t="str">
        <f t="array" ref="C22">IF(ROW(A22)-ROW(A$2)+1&gt;COUNT(B$2:B$100),"",INDEX(A:A,SMALL(B$2:B$100,1+ROW(A22)-ROW(A$2))))</f>
        <v>Irrigators</v>
      </c>
    </row>
    <row r="23" spans="1:3" s="7" customFormat="1" ht="15.75" x14ac:dyDescent="0.25">
      <c r="A23" s="4" t="s">
        <v>7</v>
      </c>
      <c r="B23" s="4">
        <f>IF(COUNTIF(dash!$A23:$A$100,$A23)&gt;=1,"",ROW())</f>
        <v>23</v>
      </c>
      <c r="C23" s="5" t="str">
        <f t="array" ref="C23">IF(ROW(A23)-ROW(A$2)+1&gt;COUNT(B$2:B$100),"",INDEX(A:A,SMALL(B$2:B$100,1+ROW(A23)-ROW(A$2))))</f>
        <v>Livestock Grazer</v>
      </c>
    </row>
    <row r="24" spans="1:3" s="7" customFormat="1" ht="15.75" x14ac:dyDescent="0.25">
      <c r="A24" s="4" t="s">
        <v>20</v>
      </c>
      <c r="B24" s="4">
        <f>IF(COUNTIF(dash!$A24:$A$100,$A24)&gt;=1,"",ROW())</f>
        <v>24</v>
      </c>
      <c r="C24" s="5" t="str">
        <f t="array" ref="C24">IF(ROW(A24)-ROW(A$2)+1&gt;COUNT(B$2:B$100),"",INDEX(A:A,SMALL(B$2:B$100,1+ROW(A24)-ROW(A$2))))</f>
        <v>Military Coast Guard</v>
      </c>
    </row>
    <row r="25" spans="1:3" s="7" customFormat="1" ht="15.75" x14ac:dyDescent="0.25">
      <c r="A25" s="4" t="s">
        <v>21</v>
      </c>
      <c r="B25" s="4">
        <f>IF(COUNTIF(dash!$A25:$A$100,$A25)&gt;=1,"",ROW())</f>
        <v>25</v>
      </c>
      <c r="C25" s="5" t="str">
        <f t="array" ref="C25">IF(ROW(A25)-ROW(A$2)+1&gt;COUNT(B$2:B$100),"",INDEX(A:A,SMALL(B$2:B$100,1+ROW(A25)-ROW(A$2))))</f>
        <v>Municipal Drinking Water Plant Operators</v>
      </c>
    </row>
    <row r="26" spans="1:3" s="7" customFormat="1" ht="15.75" x14ac:dyDescent="0.25">
      <c r="A26" s="4" t="s">
        <v>25</v>
      </c>
      <c r="B26" s="4">
        <f>IF(COUNTIF(dash!$A26:$A$100,$A26)&gt;=1,"",ROW())</f>
        <v>26</v>
      </c>
      <c r="C26" s="5" t="str">
        <f t="array" ref="C26">IF(ROW(A26)-ROW(A$2)+1&gt;COUNT(B$2:B$100),"",INDEX(A:A,SMALL(B$2:B$100,1+ROW(A26)-ROW(A$2))))</f>
        <v>Options Bequest</v>
      </c>
    </row>
    <row r="27" spans="1:3" s="7" customFormat="1" ht="15.75" x14ac:dyDescent="0.25">
      <c r="A27" s="4" t="s">
        <v>13</v>
      </c>
      <c r="B27" s="4">
        <f>IF(COUNTIF(dash!$A27:$A$100,$A27)&gt;=1,"",ROW())</f>
        <v>27</v>
      </c>
      <c r="C27" s="5" t="str">
        <f t="array" ref="C27">IF(ROW(A27)-ROW(A$2)+1&gt;COUNT(B$2:B$100),"",INDEX(A:A,SMALL(B$2:B$100,1+ROW(A27)-ROW(A$2))))</f>
        <v>Pharmaceutical Food Supplement Suppliers</v>
      </c>
    </row>
    <row r="28" spans="1:3" s="7" customFormat="1" ht="15.75" x14ac:dyDescent="0.25">
      <c r="A28" s="4" t="s">
        <v>18</v>
      </c>
      <c r="B28" s="4">
        <f>IF(COUNTIF(dash!$A28:$A$100,$A28)&gt;=1,"",ROW())</f>
        <v>28</v>
      </c>
      <c r="C28" s="5" t="str">
        <f t="array" ref="C28">IF(ROW(A28)-ROW(A$2)+1&gt;COUNT(B$2:B$100),"",INDEX(A:A,SMALL(B$2:B$100,1+ROW(A28)-ROW(A$2))))</f>
        <v>Researchers</v>
      </c>
    </row>
    <row r="29" spans="1:3" s="7" customFormat="1" ht="15.75" x14ac:dyDescent="0.25">
      <c r="A29" s="4" t="s">
        <v>22</v>
      </c>
      <c r="B29" s="4">
        <f>IF(COUNTIF(dash!$A29:$A$100,$A29)&gt;=1,"",ROW())</f>
        <v>29</v>
      </c>
      <c r="C29" s="5" t="str">
        <f t="array" ref="C29">IF(ROW(A29)-ROW(A$2)+1&gt;COUNT(B$2:B$100),"",INDEX(A:A,SMALL(B$2:B$100,1+ROW(A29)-ROW(A$2))))</f>
        <v>Residential Property Owners</v>
      </c>
    </row>
    <row r="30" spans="1:3" s="7" customFormat="1" ht="15.75" x14ac:dyDescent="0.25">
      <c r="A30" s="4" t="s">
        <v>14</v>
      </c>
      <c r="B30" s="4">
        <f>IF(COUNTIF(dash!$A30:$A$100,$A30)&gt;=1,"",ROW())</f>
        <v>30</v>
      </c>
      <c r="C30" s="5" t="str">
        <f t="array" ref="C30">IF(ROW(A30)-ROW(A$2)+1&gt;COUNT(B$2:B$100),"",INDEX(A:A,SMALL(B$2:B$100,1+ROW(A30)-ROW(A$2))))</f>
        <v>Resource Dep Businesses</v>
      </c>
    </row>
    <row r="31" spans="1:3" s="7" customFormat="1" ht="15.75" x14ac:dyDescent="0.25">
      <c r="A31" s="4" t="s">
        <v>19</v>
      </c>
      <c r="B31" s="4">
        <f>IF(COUNTIF(dash!$A31:$A$100,$A31)&gt;=1,"",ROW())</f>
        <v>31</v>
      </c>
      <c r="C31" s="5" t="str">
        <f t="array" ref="C31">IF(ROW(A31)-ROW(A$2)+1&gt;COUNT(B$2:B$100),"",INDEX(A:A,SMALL(B$2:B$100,1+ROW(A31)-ROW(A$2))))</f>
        <v>Spiritual And Ceremonial Participants And Participants Of Celebration</v>
      </c>
    </row>
    <row r="32" spans="1:3" s="7" customFormat="1" ht="15.75" x14ac:dyDescent="0.25">
      <c r="A32" s="4" t="s">
        <v>34</v>
      </c>
      <c r="B32" s="4">
        <f>IF(COUNTIF(dash!$A32:$A$100,$A32)&gt;=1,"",ROW())</f>
        <v>32</v>
      </c>
      <c r="C32" s="5" t="str">
        <f t="array" ref="C32">IF(ROW(A32)-ROW(A$2)+1&gt;COUNT(B$2:B$100),"",INDEX(A:A,SMALL(B$2:B$100,1+ROW(A32)-ROW(A$2))))</f>
        <v>Timber Fiber And Fur  Hide Subsisters</v>
      </c>
    </row>
    <row r="33" spans="1:3" s="7" customFormat="1" ht="15.75" x14ac:dyDescent="0.25">
      <c r="A33" s="4" t="s">
        <v>15</v>
      </c>
      <c r="B33" s="4">
        <f>IF(COUNTIF(dash!$A33:$A$100,$A33)&gt;=1,"",ROW())</f>
        <v>33</v>
      </c>
      <c r="C33" s="5" t="str">
        <f t="array" ref="C33">IF(ROW(A33)-ROW(A$2)+1&gt;COUNT(B$2:B$100),"",INDEX(A:A,SMALL(B$2:B$100,1+ROW(A33)-ROW(A$2))))</f>
        <v>Timber Fiber And Ornamental</v>
      </c>
    </row>
    <row r="34" spans="1:3" s="7" customFormat="1" ht="15.75" x14ac:dyDescent="0.25">
      <c r="A34" s="4" t="s">
        <v>36</v>
      </c>
      <c r="B34" s="4">
        <f>IF(COUNTIF(dash!$A34:$A$100,$A34)&gt;=1,"",ROW())</f>
        <v>34</v>
      </c>
      <c r="C34" s="5" t="str">
        <f t="array" ref="C34">IF(ROW(A34)-ROW(A$2)+1&gt;COUNT(B$2:B$100),"",INDEX(A:A,SMALL(B$2:B$100,1+ROW(A34)-ROW(A$2))))</f>
        <v>Transporters Of Goods</v>
      </c>
    </row>
    <row r="35" spans="1:3" s="7" customFormat="1" ht="15.75" x14ac:dyDescent="0.25">
      <c r="A35" s="4" t="s">
        <v>37</v>
      </c>
      <c r="B35" s="4">
        <f>IF(COUNTIF(dash!$A35:$A$100,$A35)&gt;=1,"",ROW())</f>
        <v>35</v>
      </c>
      <c r="C35" s="5" t="str">
        <f t="array" ref="C35">IF(ROW(A35)-ROW(A$2)+1&gt;COUNT(B$2:B$100),"",INDEX(A:A,SMALL(B$2:B$100,1+ROW(A35)-ROW(A$2))))</f>
        <v>Transporters Of People</v>
      </c>
    </row>
    <row r="36" spans="1:3" s="7" customFormat="1" ht="15.75" x14ac:dyDescent="0.25">
      <c r="A36" s="4" t="s">
        <v>31</v>
      </c>
      <c r="B36" s="4">
        <f>IF(COUNTIF(dash!$A36:$A$100,$A36)&gt;=1,"",ROW())</f>
        <v>36</v>
      </c>
      <c r="C36" s="5" t="str">
        <f t="array" ref="C36">IF(ROW(A36)-ROW(A$2)+1&gt;COUNT(B$2:B$100),"",INDEX(A:A,SMALL(B$2:B$100,1+ROW(A36)-ROW(A$2))))</f>
        <v>Waders Swimmers And Divers</v>
      </c>
    </row>
    <row r="37" spans="1:3" s="7" customFormat="1" ht="15.75" x14ac:dyDescent="0.25">
      <c r="A37" s="4" t="s">
        <v>23</v>
      </c>
      <c r="B37" s="4">
        <f>IF(COUNTIF(dash!$A37:$A$100,$A37)&gt;=1,"",ROW())</f>
        <v>37</v>
      </c>
      <c r="C37" s="5" t="str">
        <f t="array" ref="C37">IF(ROW(A37)-ROW(A$2)+1&gt;COUNT(B$2:B$100),"",INDEX(A:A,SMALL(B$2:B$100,1+ROW(A37)-ROW(A$2))))</f>
        <v>Waste Water Treatment Plant Operators</v>
      </c>
    </row>
    <row r="38" spans="1:3" s="7" customFormat="1" ht="15.75" x14ac:dyDescent="0.25">
      <c r="A38" s="4" t="s">
        <v>35</v>
      </c>
      <c r="B38" s="4">
        <f>IF(COUNTIF(dash!$A38:$A$100,$A38)&gt;=1,"",ROW())</f>
        <v>38</v>
      </c>
      <c r="C38" s="5" t="str">
        <f t="array" ref="C38">IF(ROW(A38)-ROW(A$2)+1&gt;COUNT(B$2:B$100),"",INDEX(A:A,SMALL(B$2:B$100,1+ROW(A38)-ROW(A$2))))</f>
        <v>Water Subsisters</v>
      </c>
    </row>
    <row r="39" spans="1:3" x14ac:dyDescent="0.25">
      <c r="A39" s="1"/>
      <c r="B39" s="1"/>
      <c r="C39" s="1"/>
    </row>
  </sheetData>
  <sortState ref="C2:C42">
    <sortCondition ref="C1"/>
  </sortState>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24"/>
  <sheetViews>
    <sheetView workbookViewId="0">
      <selection activeCell="C11" sqref="C11"/>
    </sheetView>
  </sheetViews>
  <sheetFormatPr defaultRowHeight="15" x14ac:dyDescent="0.25"/>
  <cols>
    <col min="1" max="1" width="38.42578125" bestFit="1" customWidth="1"/>
  </cols>
  <sheetData>
    <row r="1" spans="1:1" ht="15.75" x14ac:dyDescent="0.25">
      <c r="A1" s="3" t="s">
        <v>38</v>
      </c>
    </row>
    <row r="2" spans="1:1" x14ac:dyDescent="0.25">
      <c r="A2" s="6" t="s">
        <v>39</v>
      </c>
    </row>
    <row r="3" spans="1:1" x14ac:dyDescent="0.25">
      <c r="A3" s="6" t="s">
        <v>40</v>
      </c>
    </row>
    <row r="4" spans="1:1" x14ac:dyDescent="0.25">
      <c r="A4" s="6" t="s">
        <v>41</v>
      </c>
    </row>
    <row r="5" spans="1:1" x14ac:dyDescent="0.25">
      <c r="A5" s="6" t="s">
        <v>42</v>
      </c>
    </row>
    <row r="6" spans="1:1" x14ac:dyDescent="0.25">
      <c r="A6" s="6" t="s">
        <v>43</v>
      </c>
    </row>
    <row r="7" spans="1:1" x14ac:dyDescent="0.25">
      <c r="A7" s="6" t="s">
        <v>44</v>
      </c>
    </row>
    <row r="8" spans="1:1" x14ac:dyDescent="0.25">
      <c r="A8" s="6" t="s">
        <v>45</v>
      </c>
    </row>
    <row r="9" spans="1:1" x14ac:dyDescent="0.25">
      <c r="A9" s="6" t="s">
        <v>46</v>
      </c>
    </row>
    <row r="10" spans="1:1" x14ac:dyDescent="0.25">
      <c r="A10" s="6" t="s">
        <v>47</v>
      </c>
    </row>
    <row r="11" spans="1:1" x14ac:dyDescent="0.25">
      <c r="A11" s="6" t="s">
        <v>48</v>
      </c>
    </row>
    <row r="12" spans="1:1" x14ac:dyDescent="0.25">
      <c r="A12" s="6" t="s">
        <v>49</v>
      </c>
    </row>
    <row r="13" spans="1:1" x14ac:dyDescent="0.25">
      <c r="A13" s="6" t="s">
        <v>50</v>
      </c>
    </row>
    <row r="14" spans="1:1" x14ac:dyDescent="0.25">
      <c r="A14" s="6" t="s">
        <v>51</v>
      </c>
    </row>
    <row r="15" spans="1:1" x14ac:dyDescent="0.25">
      <c r="A15" s="6" t="s">
        <v>52</v>
      </c>
    </row>
    <row r="16" spans="1:1" x14ac:dyDescent="0.25">
      <c r="A16" s="6" t="s">
        <v>53</v>
      </c>
    </row>
    <row r="17" spans="1:1" x14ac:dyDescent="0.25">
      <c r="A17" s="6" t="s">
        <v>54</v>
      </c>
    </row>
    <row r="18" spans="1:1" x14ac:dyDescent="0.25">
      <c r="A18" s="6" t="s">
        <v>55</v>
      </c>
    </row>
    <row r="19" spans="1:1" x14ac:dyDescent="0.25">
      <c r="A19" s="6" t="s">
        <v>56</v>
      </c>
    </row>
    <row r="20" spans="1:1" x14ac:dyDescent="0.25">
      <c r="A20" s="6" t="s">
        <v>57</v>
      </c>
    </row>
    <row r="21" spans="1:1" x14ac:dyDescent="0.25">
      <c r="A21" s="6" t="s">
        <v>58</v>
      </c>
    </row>
    <row r="22" spans="1:1" x14ac:dyDescent="0.25">
      <c r="A22" s="6" t="s">
        <v>59</v>
      </c>
    </row>
    <row r="23" spans="1:1" x14ac:dyDescent="0.25">
      <c r="A23" s="6" t="s">
        <v>60</v>
      </c>
    </row>
    <row r="24" spans="1:1" x14ac:dyDescent="0.25">
      <c r="A24" s="6" t="s">
        <v>61</v>
      </c>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vt:lpstr>
      <vt:lpstr>beneficiaries</vt:lpstr>
      <vt:lpstr>attributes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Kyle-Steven</dc:creator>
  <cp:lastModifiedBy>Thomas, Kyle-Steven</cp:lastModifiedBy>
  <dcterms:created xsi:type="dcterms:W3CDTF">2016-03-07T22:57:24Z</dcterms:created>
  <dcterms:modified xsi:type="dcterms:W3CDTF">2016-03-09T05:58:10Z</dcterms:modified>
</cp:coreProperties>
</file>